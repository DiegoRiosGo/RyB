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</sheets>
  <definedNames/>
  <calcPr/>
  <extLst>
    <ext uri="GoogleSheetsCustomDataVersion2">
      <go:sheetsCustomData xmlns:go="http://customooxmlschemas.google.com/" r:id="rId5" roundtripDataChecksum="V58OMRvqD/dylnVYTScVmuz1wPz53vn+1OGG7Xr32uo="/>
    </ext>
  </extLst>
</workbook>
</file>

<file path=xl/sharedStrings.xml><?xml version="1.0" encoding="utf-8"?>
<sst xmlns="http://schemas.openxmlformats.org/spreadsheetml/2006/main" count="63" uniqueCount="51">
  <si>
    <t>FLUJOS DE CAJA</t>
  </si>
  <si>
    <t>FICHA PROYECTO</t>
  </si>
  <si>
    <t>DASHBOARD ECONOMICO</t>
  </si>
  <si>
    <t>Año 0</t>
  </si>
  <si>
    <t xml:space="preserve">Año 1 </t>
  </si>
  <si>
    <t>Año 2</t>
  </si>
  <si>
    <t>Año 3</t>
  </si>
  <si>
    <t>Año 4</t>
  </si>
  <si>
    <t>Año 5</t>
  </si>
  <si>
    <t>Costo Proyecto</t>
  </si>
  <si>
    <t>Inversión</t>
  </si>
  <si>
    <t>Ingresos</t>
  </si>
  <si>
    <t>Rentabilidad</t>
  </si>
  <si>
    <t>Flujo Periodo 0</t>
  </si>
  <si>
    <t>Prestamos</t>
  </si>
  <si>
    <t>-</t>
  </si>
  <si>
    <t>Precio Venta</t>
  </si>
  <si>
    <t>Flujo Periodo 1</t>
  </si>
  <si>
    <t>Capital nuestro</t>
  </si>
  <si>
    <t>Flujo Periodo 2</t>
  </si>
  <si>
    <t>Flujo Periodo 3</t>
  </si>
  <si>
    <t>Flujo Periodo 4</t>
  </si>
  <si>
    <t>Prestamo</t>
  </si>
  <si>
    <t>Flujo Periodo 5</t>
  </si>
  <si>
    <t>Ingresos Anuales</t>
  </si>
  <si>
    <t>INGRESOS</t>
  </si>
  <si>
    <t>Cuotas</t>
  </si>
  <si>
    <t>Tasa</t>
  </si>
  <si>
    <t>Saldos Anuales</t>
  </si>
  <si>
    <t>Interes</t>
  </si>
  <si>
    <t>VAN</t>
  </si>
  <si>
    <t>Valor Cuota</t>
  </si>
  <si>
    <t>TIR</t>
  </si>
  <si>
    <t>Egresos</t>
  </si>
  <si>
    <t>Costo Crédito</t>
  </si>
  <si>
    <t>Desarrollo</t>
  </si>
  <si>
    <t>OPEX</t>
  </si>
  <si>
    <t xml:space="preserve">Mantenimiento </t>
  </si>
  <si>
    <t>INVERSION</t>
  </si>
  <si>
    <t>Cuota prestamo</t>
  </si>
  <si>
    <t>Nombre</t>
  </si>
  <si>
    <t>Costo</t>
  </si>
  <si>
    <t>EGRESOS</t>
  </si>
  <si>
    <t>Total Egresos</t>
  </si>
  <si>
    <t>SALDO</t>
  </si>
  <si>
    <t>Flujo</t>
  </si>
  <si>
    <t xml:space="preserve">La rentabilidad </t>
  </si>
  <si>
    <t>Payback: 1.45 años</t>
  </si>
  <si>
    <t>socios</t>
  </si>
  <si>
    <t>Año 2, mes aproximado 5</t>
  </si>
  <si>
    <t>total por socio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</si>
</sst>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_ * #,##0_ ;_ * \-#,##0_ ;_ * &quot;-&quot;_ ;_ @_ "/>
    <numFmt numFmtId="166" formatCode="_ * #,##0.00_ ;_ * \-#,##0.00_ ;_ * &quot;-&quot;_ ;_ @_ "/>
  </numFmts>
  <fonts count="9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sz val="11.0"/>
      <color rgb="FFFF0000"/>
      <name val="Calibri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0" fontId="4" numFmtId="0" xfId="0" applyBorder="1" applyFont="1"/>
    <xf borderId="5" fillId="0" fontId="4" numFmtId="0" xfId="0" applyBorder="1" applyFont="1"/>
    <xf borderId="6" fillId="0" fontId="4" numFmtId="164" xfId="0" applyBorder="1" applyFont="1" applyNumberFormat="1"/>
    <xf borderId="0" fillId="0" fontId="4" numFmtId="165" xfId="0" applyFont="1" applyNumberFormat="1"/>
    <xf borderId="7" fillId="0" fontId="4" numFmtId="0" xfId="0" applyBorder="1" applyFont="1"/>
    <xf borderId="7" fillId="0" fontId="4" numFmtId="165" xfId="0" applyBorder="1" applyFont="1" applyNumberFormat="1"/>
    <xf borderId="7" fillId="0" fontId="4" numFmtId="0" xfId="0" applyAlignment="1" applyBorder="1" applyFont="1">
      <alignment readingOrder="0"/>
    </xf>
    <xf borderId="7" fillId="0" fontId="4" numFmtId="164" xfId="0" applyAlignment="1" applyBorder="1" applyFont="1" applyNumberFormat="1">
      <alignment horizontal="center"/>
    </xf>
    <xf borderId="7" fillId="0" fontId="5" numFmtId="164" xfId="0" applyAlignment="1" applyBorder="1" applyFont="1" applyNumberFormat="1">
      <alignment readingOrder="0"/>
    </xf>
    <xf borderId="8" fillId="0" fontId="4" numFmtId="0" xfId="0" applyBorder="1" applyFont="1"/>
    <xf borderId="9" fillId="0" fontId="4" numFmtId="166" xfId="0" applyBorder="1" applyFont="1" applyNumberFormat="1"/>
    <xf borderId="7" fillId="0" fontId="4" numFmtId="164" xfId="0" applyBorder="1" applyFont="1" applyNumberFormat="1"/>
    <xf borderId="0" fillId="0" fontId="6" numFmtId="3" xfId="0" applyAlignment="1" applyFont="1" applyNumberFormat="1">
      <alignment readingOrder="0"/>
    </xf>
    <xf borderId="7" fillId="0" fontId="4" numFmtId="164" xfId="0" applyAlignment="1" applyBorder="1" applyFont="1" applyNumberFormat="1">
      <alignment horizontal="right" readingOrder="0"/>
    </xf>
    <xf borderId="9" fillId="0" fontId="4" numFmtId="164" xfId="0" applyBorder="1" applyFont="1" applyNumberFormat="1"/>
    <xf borderId="0" fillId="0" fontId="6" numFmtId="3" xfId="0" applyAlignment="1" applyFont="1" applyNumberFormat="1">
      <alignment horizontal="center" readingOrder="0" shrinkToFit="0" wrapText="1"/>
    </xf>
    <xf borderId="7" fillId="0" fontId="5" numFmtId="0" xfId="0" applyBorder="1" applyFont="1"/>
    <xf borderId="9" fillId="0" fontId="4" numFmtId="165" xfId="0" applyBorder="1" applyFont="1" applyNumberFormat="1"/>
    <xf borderId="7" fillId="0" fontId="5" numFmtId="0" xfId="0" applyAlignment="1" applyBorder="1" applyFont="1">
      <alignment readingOrder="0"/>
    </xf>
    <xf borderId="7" fillId="0" fontId="5" numFmtId="3" xfId="0" applyAlignment="1" applyBorder="1" applyFont="1" applyNumberFormat="1">
      <alignment readingOrder="0"/>
    </xf>
    <xf borderId="10" fillId="0" fontId="4" numFmtId="0" xfId="0" applyAlignment="1" applyBorder="1" applyFont="1">
      <alignment readingOrder="0"/>
    </xf>
    <xf borderId="10" fillId="0" fontId="4" numFmtId="164" xfId="0" applyAlignment="1" applyBorder="1" applyFont="1" applyNumberFormat="1">
      <alignment horizontal="center"/>
    </xf>
    <xf borderId="10" fillId="0" fontId="4" numFmtId="164" xfId="0" applyBorder="1" applyFont="1" applyNumberFormat="1"/>
    <xf borderId="0" fillId="0" fontId="7" numFmtId="0" xfId="0" applyAlignment="1" applyFont="1">
      <alignment horizontal="center"/>
    </xf>
    <xf borderId="9" fillId="0" fontId="4" numFmtId="165" xfId="0" applyAlignment="1" applyBorder="1" applyFont="1" applyNumberFormat="1">
      <alignment readingOrder="0"/>
    </xf>
    <xf borderId="0" fillId="0" fontId="4" numFmtId="9" xfId="0" applyFont="1" applyNumberFormat="1"/>
    <xf borderId="11" fillId="2" fontId="4" numFmtId="0" xfId="0" applyAlignment="1" applyBorder="1" applyFont="1">
      <alignment readingOrder="0"/>
    </xf>
    <xf borderId="12" fillId="2" fontId="4" numFmtId="165" xfId="0" applyBorder="1" applyFont="1" applyNumberFormat="1"/>
    <xf borderId="13" fillId="2" fontId="4" numFmtId="164" xfId="0" applyBorder="1" applyFont="1" applyNumberFormat="1"/>
    <xf borderId="0" fillId="0" fontId="4" numFmtId="164" xfId="0" applyFont="1" applyNumberFormat="1"/>
    <xf borderId="9" fillId="0" fontId="4" numFmtId="166" xfId="0" applyAlignment="1" applyBorder="1" applyFont="1" applyNumberFormat="1">
      <alignment readingOrder="0"/>
    </xf>
    <xf borderId="7" fillId="0" fontId="4" numFmtId="9" xfId="0" applyBorder="1" applyFont="1" applyNumberFormat="1"/>
    <xf borderId="0" fillId="0" fontId="4" numFmtId="0" xfId="0" applyAlignment="1" applyFont="1">
      <alignment horizontal="center"/>
    </xf>
    <xf borderId="14" fillId="0" fontId="4" numFmtId="0" xfId="0" applyBorder="1" applyFont="1"/>
    <xf borderId="15" fillId="0" fontId="4" numFmtId="165" xfId="0" applyBorder="1" applyFont="1" applyNumberFormat="1"/>
    <xf borderId="0" fillId="0" fontId="4" numFmtId="166" xfId="0" applyFont="1" applyNumberFormat="1"/>
    <xf borderId="7" fillId="0" fontId="1" numFmtId="164" xfId="0" applyAlignment="1" applyBorder="1" applyFont="1" applyNumberFormat="1">
      <alignment horizontal="center" readingOrder="0"/>
    </xf>
    <xf borderId="7" fillId="0" fontId="5" numFmtId="164" xfId="0" applyAlignment="1" applyBorder="1" applyFont="1" applyNumberFormat="1">
      <alignment horizontal="center" readingOrder="0"/>
    </xf>
    <xf borderId="16" fillId="3" fontId="4" numFmtId="0" xfId="0" applyAlignment="1" applyBorder="1" applyFill="1" applyFont="1">
      <alignment horizontal="center" shrinkToFit="0" vertical="center" wrapText="1"/>
    </xf>
    <xf borderId="17" fillId="3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readingOrder="0" shrinkToFit="0" wrapText="1"/>
    </xf>
    <xf borderId="19" fillId="0" fontId="4" numFmtId="3" xfId="0" applyAlignment="1" applyBorder="1" applyFont="1" applyNumberFormat="1">
      <alignment horizontal="right" readingOrder="0" shrinkToFit="0" wrapText="1"/>
    </xf>
    <xf borderId="0" fillId="0" fontId="1" numFmtId="3" xfId="0" applyFont="1" applyNumberFormat="1"/>
    <xf borderId="0" fillId="0" fontId="5" numFmtId="164" xfId="0" applyAlignment="1" applyFont="1" applyNumberFormat="1">
      <alignment readingOrder="0"/>
    </xf>
    <xf borderId="10" fillId="0" fontId="4" numFmtId="0" xfId="0" applyBorder="1" applyFont="1"/>
    <xf borderId="10" fillId="0" fontId="4" numFmtId="165" xfId="0" applyBorder="1" applyFont="1" applyNumberFormat="1"/>
    <xf borderId="18" fillId="0" fontId="4" numFmtId="0" xfId="0" applyAlignment="1" applyBorder="1" applyFont="1">
      <alignment shrinkToFit="0" wrapText="1"/>
    </xf>
    <xf borderId="19" fillId="0" fontId="4" numFmtId="3" xfId="0" applyAlignment="1" applyBorder="1" applyFont="1" applyNumberFormat="1">
      <alignment horizontal="right" shrinkToFit="0" wrapText="1"/>
    </xf>
    <xf borderId="11" fillId="4" fontId="4" numFmtId="0" xfId="0" applyBorder="1" applyFill="1" applyFont="1"/>
    <xf borderId="13" fillId="4" fontId="4" numFmtId="164" xfId="0" applyBorder="1" applyFont="1" applyNumberFormat="1"/>
    <xf borderId="20" fillId="4" fontId="4" numFmtId="164" xfId="0" applyBorder="1" applyFont="1" applyNumberFormat="1"/>
    <xf borderId="11" fillId="5" fontId="2" numFmtId="0" xfId="0" applyBorder="1" applyFill="1" applyFont="1"/>
    <xf borderId="13" fillId="5" fontId="2" numFmtId="164" xfId="0" applyBorder="1" applyFont="1" applyNumberFormat="1"/>
    <xf borderId="20" fillId="5" fontId="2" numFmtId="164" xfId="0" applyBorder="1" applyFont="1" applyNumberFormat="1"/>
    <xf borderId="18" fillId="3" fontId="4" numFmtId="0" xfId="0" applyAlignment="1" applyBorder="1" applyFont="1">
      <alignment shrinkToFit="0" wrapText="1"/>
    </xf>
    <xf borderId="19" fillId="3" fontId="4" numFmtId="3" xfId="0" applyAlignment="1" applyBorder="1" applyFont="1" applyNumberFormat="1">
      <alignment horizontal="right" shrinkToFit="0" wrapText="1"/>
    </xf>
    <xf borderId="7" fillId="6" fontId="8" numFmtId="0" xfId="0" applyAlignment="1" applyBorder="1" applyFill="1" applyFont="1">
      <alignment horizontal="center" vertical="center"/>
    </xf>
    <xf borderId="7" fillId="7" fontId="4" numFmtId="165" xfId="0" applyAlignment="1" applyBorder="1" applyFill="1" applyFont="1" applyNumberFormat="1">
      <alignment horizontal="center" vertical="center"/>
    </xf>
    <xf borderId="7" fillId="7" fontId="4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readingOrder="0"/>
    </xf>
    <xf borderId="7" fillId="7" fontId="1" numFmtId="0" xfId="0" applyAlignment="1" applyBorder="1" applyFont="1">
      <alignment horizontal="center" readingOrder="0" vertical="center"/>
    </xf>
    <xf borderId="7" fillId="7" fontId="1" numFmtId="164" xfId="0" applyAlignment="1" applyBorder="1" applyFont="1" applyNumberFormat="1">
      <alignment horizontal="center" vertical="center"/>
    </xf>
    <xf borderId="0" fillId="0" fontId="1" numFmtId="9" xfId="0" applyFont="1" applyNumberFormat="1"/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Crecimiento de Flujo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Año 0</c:v>
          </c:tx>
          <c:spPr>
            <a:solidFill>
              <a:schemeClr val="accent1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Caja'!$C$24</c:f>
              <c:numCache/>
            </c:numRef>
          </c:val>
        </c:ser>
        <c:ser>
          <c:idx val="1"/>
          <c:order val="1"/>
          <c:tx>
            <c:v>Año 1</c:v>
          </c:tx>
          <c:spPr>
            <a:solidFill>
              <a:schemeClr val="accent2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Caja'!$D$24</c:f>
              <c:numCache/>
            </c:numRef>
          </c:val>
        </c:ser>
        <c:ser>
          <c:idx val="2"/>
          <c:order val="2"/>
          <c:tx>
            <c:v>Año 2</c:v>
          </c:tx>
          <c:spPr>
            <a:solidFill>
              <a:schemeClr val="accent3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Caja'!$E$24</c:f>
              <c:numCache/>
            </c:numRef>
          </c:val>
        </c:ser>
        <c:ser>
          <c:idx val="3"/>
          <c:order val="3"/>
          <c:tx>
            <c:v>Año 3</c:v>
          </c:tx>
          <c:spPr>
            <a:solidFill>
              <a:schemeClr val="accent4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Caja'!$F$24</c:f>
              <c:numCache/>
            </c:numRef>
          </c:val>
        </c:ser>
        <c:ser>
          <c:idx val="4"/>
          <c:order val="4"/>
          <c:tx>
            <c:v>Año 4</c:v>
          </c:tx>
          <c:spPr>
            <a:solidFill>
              <a:schemeClr val="accent5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Caja'!$G$24</c:f>
              <c:numCache/>
            </c:numRef>
          </c:val>
        </c:ser>
        <c:ser>
          <c:idx val="5"/>
          <c:order val="5"/>
          <c:tx>
            <c:v>Año 5</c:v>
          </c:tx>
          <c:spPr>
            <a:solidFill>
              <a:schemeClr val="accent6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'Flujo de Caja'!$H$24</c:f>
              <c:numCache/>
            </c:numRef>
          </c:val>
        </c:ser>
        <c:ser>
          <c:idx val="6"/>
          <c:order val="6"/>
          <c:val>
            <c:numRef>
              <c:f>'Flujo de Caja'!$C$4</c:f>
              <c:numCache/>
            </c:numRef>
          </c:val>
        </c:ser>
        <c:ser>
          <c:idx val="7"/>
          <c:order val="7"/>
          <c:val>
            <c:numRef>
              <c:f>'Flujo de Caja'!$D$4</c:f>
              <c:numCache/>
            </c:numRef>
          </c:val>
        </c:ser>
        <c:ser>
          <c:idx val="8"/>
          <c:order val="8"/>
          <c:val>
            <c:numRef>
              <c:f>'Flujo de Caja'!$E$4</c:f>
              <c:numCache/>
            </c:numRef>
          </c:val>
        </c:ser>
        <c:ser>
          <c:idx val="9"/>
          <c:order val="9"/>
          <c:val>
            <c:numRef>
              <c:f>'Flujo de Caja'!$F$4</c:f>
              <c:numCache/>
            </c:numRef>
          </c:val>
        </c:ser>
        <c:ser>
          <c:idx val="10"/>
          <c:order val="10"/>
          <c:val>
            <c:numRef>
              <c:f>'Flujo de Caja'!$G$4</c:f>
              <c:numCache/>
            </c:numRef>
          </c:val>
        </c:ser>
        <c:ser>
          <c:idx val="11"/>
          <c:order val="11"/>
          <c:val>
            <c:numRef>
              <c:f>'Flujo de Caja'!$H$4</c:f>
              <c:numCache/>
            </c:numRef>
          </c:val>
        </c:ser>
        <c:axId val="676594338"/>
        <c:axId val="1246440018"/>
      </c:barChart>
      <c:catAx>
        <c:axId val="676594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Años de Funcionamiento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46440018"/>
      </c:catAx>
      <c:valAx>
        <c:axId val="1246440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Flujo Total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7659433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838200</xdr:colOff>
      <xdr:row>30</xdr:row>
      <xdr:rowOff>180975</xdr:rowOff>
    </xdr:from>
    <xdr:ext cx="6353175" cy="4133850"/>
    <xdr:graphicFrame>
      <xdr:nvGraphicFramePr>
        <xdr:cNvPr id="106324596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1.43"/>
    <col customWidth="1" min="3" max="4" width="11.71"/>
    <col customWidth="1" min="5" max="8" width="12.71"/>
    <col customWidth="1" min="10" max="10" width="14.29"/>
    <col customWidth="1" min="11" max="11" width="13.71"/>
    <col customWidth="1" min="12" max="12" width="11.14"/>
    <col customWidth="1" min="13" max="13" width="14.29"/>
    <col customWidth="1" min="14" max="14" width="12.43"/>
    <col customWidth="1" min="15" max="15" width="4.86"/>
    <col customWidth="1" min="16" max="17" width="10.71"/>
  </cols>
  <sheetData>
    <row r="3">
      <c r="B3" s="1"/>
      <c r="C3" s="2" t="s">
        <v>0</v>
      </c>
      <c r="D3" s="3"/>
      <c r="E3" s="3"/>
      <c r="F3" s="3"/>
      <c r="G3" s="3"/>
      <c r="H3" s="4"/>
      <c r="J3" s="2" t="s">
        <v>1</v>
      </c>
      <c r="K3" s="4"/>
      <c r="M3" s="2" t="s">
        <v>2</v>
      </c>
      <c r="N3" s="3"/>
      <c r="O3" s="4"/>
    </row>
    <row r="4"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J4" s="7" t="s">
        <v>9</v>
      </c>
      <c r="K4" s="8">
        <f>SUM(C22:H22)</f>
        <v>50937100</v>
      </c>
      <c r="L4" s="9"/>
      <c r="M4" s="10" t="s">
        <v>10</v>
      </c>
      <c r="N4" s="11">
        <f>+K10*-1</f>
        <v>0</v>
      </c>
    </row>
    <row r="5">
      <c r="B5" s="12" t="s">
        <v>11</v>
      </c>
      <c r="C5" s="13">
        <v>0.0</v>
      </c>
      <c r="D5" s="14">
        <v>2.0E7</v>
      </c>
      <c r="E5" s="14">
        <v>2.0E7</v>
      </c>
      <c r="F5" s="14">
        <v>2.0E7</v>
      </c>
      <c r="G5" s="14">
        <v>2.0E7</v>
      </c>
      <c r="H5" s="14">
        <v>2.0E7</v>
      </c>
      <c r="J5" s="15" t="s">
        <v>12</v>
      </c>
      <c r="K5" s="16">
        <v>0.5</v>
      </c>
      <c r="L5" s="9"/>
      <c r="M5" s="10" t="s">
        <v>13</v>
      </c>
      <c r="N5" s="17">
        <f>+C24</f>
        <v>-21891100</v>
      </c>
      <c r="P5" s="18"/>
      <c r="Q5" s="18"/>
    </row>
    <row r="6">
      <c r="B6" s="10" t="s">
        <v>14</v>
      </c>
      <c r="C6" s="19" t="s">
        <v>15</v>
      </c>
      <c r="D6" s="19" t="s">
        <v>15</v>
      </c>
      <c r="E6" s="19" t="s">
        <v>15</v>
      </c>
      <c r="F6" s="19" t="s">
        <v>15</v>
      </c>
      <c r="G6" s="19" t="s">
        <v>15</v>
      </c>
      <c r="H6" s="19" t="s">
        <v>15</v>
      </c>
      <c r="J6" s="15" t="s">
        <v>16</v>
      </c>
      <c r="K6" s="20">
        <f>+K4*(1+K5)</f>
        <v>76405650</v>
      </c>
      <c r="L6" s="9"/>
      <c r="M6" s="10" t="s">
        <v>17</v>
      </c>
      <c r="N6" s="17">
        <f>+D24</f>
        <v>-7700300</v>
      </c>
      <c r="P6" s="21"/>
      <c r="Q6" s="21"/>
    </row>
    <row r="7">
      <c r="B7" s="12" t="s">
        <v>18</v>
      </c>
      <c r="C7" s="13">
        <v>0.0</v>
      </c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J7" s="15" t="s">
        <v>12</v>
      </c>
      <c r="K7" s="20">
        <f>+K6-K4</f>
        <v>25468550</v>
      </c>
      <c r="L7" s="9"/>
      <c r="M7" s="10" t="s">
        <v>19</v>
      </c>
      <c r="N7" s="17">
        <f>+E24</f>
        <v>6490500</v>
      </c>
      <c r="P7" s="21"/>
      <c r="Q7" s="21"/>
    </row>
    <row r="8">
      <c r="B8" s="22"/>
      <c r="C8" s="22"/>
      <c r="D8" s="22"/>
      <c r="E8" s="22"/>
      <c r="F8" s="22"/>
      <c r="G8" s="22"/>
      <c r="H8" s="22"/>
      <c r="J8" s="15"/>
      <c r="K8" s="23"/>
      <c r="L8" s="9"/>
      <c r="M8" s="10" t="s">
        <v>20</v>
      </c>
      <c r="N8" s="17">
        <f>+F24</f>
        <v>20681300</v>
      </c>
      <c r="P8" s="21"/>
      <c r="Q8" s="21"/>
    </row>
    <row r="9">
      <c r="B9" s="24"/>
      <c r="C9" s="25"/>
      <c r="D9" s="22"/>
      <c r="E9" s="22"/>
      <c r="F9" s="22"/>
      <c r="G9" s="22"/>
      <c r="H9" s="22"/>
      <c r="J9" s="15"/>
      <c r="K9" s="23"/>
      <c r="L9" s="9"/>
      <c r="M9" s="10" t="s">
        <v>21</v>
      </c>
      <c r="N9" s="17">
        <f>+G24</f>
        <v>34872100</v>
      </c>
      <c r="P9" s="21"/>
      <c r="Q9" s="21"/>
    </row>
    <row r="10">
      <c r="B10" s="22"/>
      <c r="C10" s="22"/>
      <c r="D10" s="22"/>
      <c r="E10" s="22"/>
      <c r="F10" s="22"/>
      <c r="G10" s="22"/>
      <c r="H10" s="22"/>
      <c r="J10" s="15" t="s">
        <v>22</v>
      </c>
      <c r="K10" s="23" t="str">
        <f>N19</f>
        <v/>
      </c>
      <c r="L10" s="9"/>
      <c r="M10" s="10" t="s">
        <v>23</v>
      </c>
      <c r="N10" s="17">
        <f>+H24</f>
        <v>49062900</v>
      </c>
      <c r="P10" s="21"/>
      <c r="Q10" s="21"/>
    </row>
    <row r="11">
      <c r="B11" s="26" t="s">
        <v>24</v>
      </c>
      <c r="C11" s="27">
        <f>SUM(C5:C9)</f>
        <v>0</v>
      </c>
      <c r="D11" s="28">
        <f t="shared" ref="D11:H11" si="1">SUM(D5:D7)</f>
        <v>20000000</v>
      </c>
      <c r="E11" s="28">
        <f t="shared" si="1"/>
        <v>20000000</v>
      </c>
      <c r="F11" s="28">
        <f t="shared" si="1"/>
        <v>20000000</v>
      </c>
      <c r="G11" s="28">
        <f t="shared" si="1"/>
        <v>20000000</v>
      </c>
      <c r="H11" s="28">
        <f t="shared" si="1"/>
        <v>20000000</v>
      </c>
      <c r="I11" s="29" t="s">
        <v>25</v>
      </c>
      <c r="J11" s="15" t="s">
        <v>26</v>
      </c>
      <c r="K11" s="30"/>
      <c r="L11" s="9"/>
      <c r="M11" s="10" t="s">
        <v>27</v>
      </c>
      <c r="N11" s="12">
        <v>20.0</v>
      </c>
      <c r="O11" s="31">
        <f>+N11/100</f>
        <v>0.2</v>
      </c>
    </row>
    <row r="12">
      <c r="B12" s="32" t="s">
        <v>28</v>
      </c>
      <c r="C12" s="33">
        <f>+C11</f>
        <v>0</v>
      </c>
      <c r="D12" s="34">
        <f>+D11+C24</f>
        <v>-1891100</v>
      </c>
      <c r="E12" s="34">
        <f t="shared" ref="E12:H12" si="2">+D24+E11</f>
        <v>12299700</v>
      </c>
      <c r="F12" s="34">
        <f t="shared" si="2"/>
        <v>26490500</v>
      </c>
      <c r="G12" s="34">
        <f t="shared" si="2"/>
        <v>40681300</v>
      </c>
      <c r="H12" s="34">
        <f t="shared" si="2"/>
        <v>54872100</v>
      </c>
      <c r="I12" s="35">
        <f>SUM(C12:H12)</f>
        <v>132452500</v>
      </c>
      <c r="J12" s="15" t="s">
        <v>29</v>
      </c>
      <c r="K12" s="36"/>
      <c r="L12" s="9"/>
      <c r="M12" s="10" t="s">
        <v>30</v>
      </c>
      <c r="N12" s="11">
        <f t="array" ref="N12">NPV(O11,C24,D24,E24,F24,G24,H24)-K10</f>
        <v>20585064.08</v>
      </c>
    </row>
    <row r="13">
      <c r="C13" s="9"/>
      <c r="D13" s="9"/>
      <c r="E13" s="9"/>
      <c r="F13" s="9"/>
      <c r="G13" s="9"/>
      <c r="H13" s="9"/>
      <c r="J13" s="15" t="s">
        <v>31</v>
      </c>
      <c r="K13" s="23" t="str">
        <f>(K10/K11)*K12</f>
        <v>#DIV/0!</v>
      </c>
      <c r="L13" s="9"/>
      <c r="M13" s="10" t="s">
        <v>32</v>
      </c>
      <c r="N13" s="37">
        <f>IRR(N4:N10)</f>
        <v>0.4229077101</v>
      </c>
      <c r="P13" s="37"/>
      <c r="Q13" s="31"/>
    </row>
    <row r="14">
      <c r="C14" s="9"/>
      <c r="D14" s="9"/>
      <c r="F14" s="38" t="s">
        <v>33</v>
      </c>
      <c r="G14" s="9"/>
      <c r="H14" s="9"/>
      <c r="J14" s="39" t="s">
        <v>34</v>
      </c>
      <c r="K14" s="40" t="str">
        <f>+K13*K11</f>
        <v>#DIV/0!</v>
      </c>
      <c r="L14" s="41"/>
    </row>
    <row r="15">
      <c r="B15" s="12" t="s">
        <v>35</v>
      </c>
      <c r="C15" s="42">
        <v>2.18911E7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L15" s="9"/>
    </row>
    <row r="16">
      <c r="B16" s="12" t="s">
        <v>36</v>
      </c>
      <c r="C16" s="13">
        <v>0.0</v>
      </c>
      <c r="D16" s="43">
        <v>2940000.0</v>
      </c>
      <c r="E16" s="43">
        <v>2940000.0</v>
      </c>
      <c r="F16" s="43">
        <v>2940000.0</v>
      </c>
      <c r="G16" s="43">
        <v>2940000.0</v>
      </c>
      <c r="H16" s="43">
        <v>2940000.0</v>
      </c>
      <c r="L16" s="9"/>
    </row>
    <row r="17">
      <c r="B17" s="12" t="s">
        <v>37</v>
      </c>
      <c r="C17" s="13">
        <v>0.0</v>
      </c>
      <c r="D17" s="43">
        <v>2869200.0</v>
      </c>
      <c r="E17" s="43">
        <v>2869200.0</v>
      </c>
      <c r="F17" s="43">
        <v>2869200.0</v>
      </c>
      <c r="G17" s="43">
        <v>2869200.0</v>
      </c>
      <c r="H17" s="43">
        <v>2869200.0</v>
      </c>
      <c r="M17" s="2" t="s">
        <v>38</v>
      </c>
      <c r="N17" s="4"/>
    </row>
    <row r="18">
      <c r="B18" s="10" t="s">
        <v>39</v>
      </c>
      <c r="C18" s="19" t="s">
        <v>15</v>
      </c>
      <c r="D18" s="19" t="s">
        <v>15</v>
      </c>
      <c r="E18" s="19" t="s">
        <v>15</v>
      </c>
      <c r="F18" s="19" t="s">
        <v>15</v>
      </c>
      <c r="G18" s="19" t="s">
        <v>15</v>
      </c>
      <c r="H18" s="19" t="s">
        <v>15</v>
      </c>
      <c r="M18" s="44" t="s">
        <v>40</v>
      </c>
      <c r="N18" s="45" t="s">
        <v>41</v>
      </c>
    </row>
    <row r="19">
      <c r="B19" s="10"/>
      <c r="C19" s="19"/>
      <c r="D19" s="19"/>
      <c r="E19" s="19"/>
      <c r="F19" s="19"/>
      <c r="G19" s="19"/>
      <c r="H19" s="19"/>
      <c r="M19" s="46"/>
      <c r="N19" s="47"/>
    </row>
    <row r="20">
      <c r="B20" s="22"/>
      <c r="C20" s="19"/>
      <c r="D20" s="19"/>
      <c r="E20" s="19"/>
      <c r="F20" s="19"/>
      <c r="G20" s="19"/>
      <c r="H20" s="19"/>
      <c r="K20" s="48"/>
      <c r="M20" s="12"/>
      <c r="N20" s="49"/>
    </row>
    <row r="21">
      <c r="B21" s="50"/>
      <c r="C21" s="51"/>
      <c r="D21" s="51"/>
      <c r="E21" s="51"/>
      <c r="F21" s="51"/>
      <c r="G21" s="51"/>
      <c r="H21" s="51"/>
      <c r="I21" s="29" t="s">
        <v>42</v>
      </c>
      <c r="L21" s="9"/>
      <c r="M21" s="52"/>
      <c r="N21" s="53"/>
    </row>
    <row r="22">
      <c r="B22" s="54" t="s">
        <v>43</v>
      </c>
      <c r="C22" s="55">
        <f t="shared" ref="C22:H22" si="3">SUM(C15:C21)</f>
        <v>21891100</v>
      </c>
      <c r="D22" s="55">
        <f t="shared" si="3"/>
        <v>5809200</v>
      </c>
      <c r="E22" s="55">
        <f t="shared" si="3"/>
        <v>5809200</v>
      </c>
      <c r="F22" s="55">
        <f t="shared" si="3"/>
        <v>5809200</v>
      </c>
      <c r="G22" s="55">
        <f t="shared" si="3"/>
        <v>5809200</v>
      </c>
      <c r="H22" s="56">
        <f t="shared" si="3"/>
        <v>5809200</v>
      </c>
      <c r="I22" s="35">
        <f>SUM(C22:H22)</f>
        <v>50937100</v>
      </c>
      <c r="L22" s="31"/>
      <c r="M22" s="52"/>
      <c r="N22" s="53"/>
    </row>
    <row r="23">
      <c r="C23" s="35"/>
      <c r="D23" s="35"/>
      <c r="E23" s="35"/>
      <c r="F23" s="35"/>
      <c r="G23" s="35"/>
      <c r="H23" s="35"/>
      <c r="I23" s="29" t="s">
        <v>44</v>
      </c>
      <c r="M23" s="52"/>
      <c r="N23" s="53"/>
    </row>
    <row r="24">
      <c r="B24" s="57" t="s">
        <v>45</v>
      </c>
      <c r="C24" s="58">
        <f t="shared" ref="C24:I24" si="4">+C12-C22</f>
        <v>-21891100</v>
      </c>
      <c r="D24" s="58">
        <f t="shared" si="4"/>
        <v>-7700300</v>
      </c>
      <c r="E24" s="58">
        <f t="shared" si="4"/>
        <v>6490500</v>
      </c>
      <c r="F24" s="58">
        <f t="shared" si="4"/>
        <v>20681300</v>
      </c>
      <c r="G24" s="58">
        <f t="shared" si="4"/>
        <v>34872100</v>
      </c>
      <c r="H24" s="59">
        <f t="shared" si="4"/>
        <v>49062900</v>
      </c>
      <c r="I24" s="35">
        <f t="shared" si="4"/>
        <v>81515400</v>
      </c>
      <c r="M24" s="52"/>
      <c r="N24" s="53"/>
    </row>
    <row r="25" ht="15.75" customHeight="1">
      <c r="M25" s="52"/>
      <c r="N25" s="53"/>
    </row>
    <row r="26" ht="15.75" customHeight="1">
      <c r="M26" s="52"/>
      <c r="N26" s="53"/>
    </row>
    <row r="27" ht="15.75" customHeight="1">
      <c r="M27" s="60"/>
      <c r="N27" s="61"/>
    </row>
    <row r="28" ht="15.75" customHeight="1"/>
    <row r="29" ht="15.75" customHeight="1">
      <c r="B29" s="62" t="s">
        <v>46</v>
      </c>
      <c r="C29" s="63"/>
      <c r="D29" s="64">
        <f>K7</f>
        <v>25468550</v>
      </c>
      <c r="F29" s="65" t="s">
        <v>47</v>
      </c>
    </row>
    <row r="30" ht="15.75" customHeight="1">
      <c r="B30" s="62" t="s">
        <v>48</v>
      </c>
      <c r="C30" s="66"/>
      <c r="D30" s="66">
        <v>2.0</v>
      </c>
      <c r="F30" s="65" t="s">
        <v>49</v>
      </c>
    </row>
    <row r="31" ht="15.75" customHeight="1">
      <c r="B31" s="62" t="s">
        <v>50</v>
      </c>
      <c r="C31" s="67"/>
      <c r="D31" s="67">
        <f>D29/D30</f>
        <v>12734275</v>
      </c>
    </row>
    <row r="32" ht="15.75" customHeight="1">
      <c r="G32" s="68"/>
    </row>
    <row r="33" ht="15.75" customHeight="1"/>
    <row r="34" ht="15.75" customHeight="1">
      <c r="A34" s="69"/>
      <c r="C34" s="48"/>
      <c r="D34" s="48"/>
    </row>
    <row r="35" ht="15.75" customHeight="1"/>
    <row r="36" ht="15.75" customHeight="1">
      <c r="C36" s="48"/>
      <c r="D36" s="48"/>
    </row>
    <row r="37" ht="15.75" customHeight="1">
      <c r="C37" s="48"/>
      <c r="D37" s="48"/>
      <c r="F37" s="48"/>
    </row>
    <row r="38" ht="15.75" customHeight="1"/>
    <row r="39" ht="15.75" customHeight="1">
      <c r="C39" s="48"/>
      <c r="D39" s="48"/>
    </row>
    <row r="40" ht="15.75" customHeight="1"/>
    <row r="41" ht="15.75" customHeight="1">
      <c r="C41" s="48"/>
      <c r="D41" s="48"/>
      <c r="F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B56" s="70"/>
    </row>
    <row r="57" ht="15.75" customHeight="1"/>
    <row r="58" ht="15.75" customHeight="1">
      <c r="B58" s="70"/>
    </row>
    <row r="59" ht="15.75" customHeight="1">
      <c r="B59" s="70"/>
      <c r="C59" s="70"/>
      <c r="D59" s="70"/>
      <c r="E59" s="70"/>
      <c r="F59" s="70"/>
    </row>
    <row r="60" ht="15.75" customHeight="1">
      <c r="B60" s="70"/>
      <c r="C60" s="70"/>
      <c r="D60" s="70"/>
      <c r="E60" s="70"/>
      <c r="F60" s="70"/>
    </row>
    <row r="61" ht="15.75" customHeight="1">
      <c r="B61" s="70"/>
      <c r="C61" s="70"/>
      <c r="D61" s="70"/>
      <c r="E61" s="70"/>
      <c r="F61" s="70"/>
    </row>
    <row r="62" ht="15.75" customHeight="1">
      <c r="B62" s="70"/>
      <c r="C62" s="70"/>
      <c r="D62" s="70"/>
      <c r="E62" s="70"/>
      <c r="F62" s="70"/>
    </row>
    <row r="63" ht="15.75" customHeight="1"/>
    <row r="64" ht="15.75" customHeight="1">
      <c r="B64" s="70"/>
    </row>
    <row r="65" ht="15.75" customHeight="1">
      <c r="B65" s="70"/>
      <c r="C65" s="70"/>
      <c r="D65" s="70"/>
      <c r="E65" s="70"/>
      <c r="F65" s="70"/>
    </row>
    <row r="66" ht="15.75" customHeight="1">
      <c r="B66" s="70"/>
      <c r="C66" s="70"/>
      <c r="D66" s="70"/>
      <c r="E66" s="70"/>
      <c r="F66" s="70"/>
      <c r="H66" s="70"/>
    </row>
    <row r="67" ht="15.75" customHeight="1">
      <c r="B67" s="70"/>
      <c r="C67" s="48"/>
      <c r="D67" s="48"/>
      <c r="E67" s="48"/>
      <c r="F67" s="48"/>
      <c r="H67" s="70"/>
    </row>
    <row r="68" ht="15.75" customHeight="1">
      <c r="B68" s="70"/>
      <c r="C68" s="70"/>
      <c r="D68" s="70"/>
      <c r="E68" s="70"/>
      <c r="F68" s="70"/>
      <c r="H68" s="70"/>
    </row>
    <row r="69" ht="15.75" customHeight="1">
      <c r="B69" s="70"/>
      <c r="H69" s="7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C3:H3"/>
    <mergeCell ref="J3:K3"/>
    <mergeCell ref="M3:O3"/>
    <mergeCell ref="M17:N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2022-10-18T13:55:40Z</dcterms:created>
  <dc:creator>CETECOM</dc:creator>
</cp:coreProperties>
</file>