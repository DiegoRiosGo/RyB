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4"/>
  </sheets>
  <definedNames/>
  <calcPr/>
</workbook>
</file>

<file path=xl/sharedStrings.xml><?xml version="1.0" encoding="utf-8"?>
<sst xmlns="http://schemas.openxmlformats.org/spreadsheetml/2006/main" count="95" uniqueCount="93">
  <si>
    <t>#</t>
  </si>
  <si>
    <t>TAREA</t>
  </si>
  <si>
    <t>INICIO</t>
  </si>
  <si>
    <t>FIN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</si>
  <si>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</si>
  <si>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</si>
  <si>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</si>
  <si>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</si>
  <si>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</si>
  <si>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</si>
  <si>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</si>
  <si>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</si>
  <si>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</si>
  <si>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</si>
  <si>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</si>
  <si>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</si>
  <si>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</si>
  <si>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</si>
  <si>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</si>
  <si>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</si>
  <si>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</si>
  <si>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</si>
  <si>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Inicio</t>
  </si>
  <si>
    <t>Reunión inicial y definición de alcance</t>
  </si>
  <si>
    <t xml:space="preserve">Semana 1 </t>
  </si>
  <si>
    <t>Definición de roles y responsabilidades</t>
  </si>
  <si>
    <t>Plan de gestión de riesgos y KPIs</t>
  </si>
  <si>
    <t>Planificación de sprints (cronograma, backlog)</t>
  </si>
  <si>
    <t>Planificación</t>
  </si>
  <si>
    <t>Levantamiento de requerimientos con cliente</t>
  </si>
  <si>
    <t>Análisis de viabilidad técnica y recursos</t>
  </si>
  <si>
    <t>Diseño de arquitectura de software</t>
  </si>
  <si>
    <t>Modelado de base de datos</t>
  </si>
  <si>
    <t>Diseño de prototipos UI/UX)</t>
  </si>
  <si>
    <t>Planificación de Sprints y Backlog</t>
  </si>
  <si>
    <t>Ejecución (Ágil – Iterativa)</t>
  </si>
  <si>
    <t>Sprint 1 — Entorno, estructura base y carga inicial de datos</t>
  </si>
  <si>
    <t>Configuración entorno de desarrollo</t>
  </si>
  <si>
    <t>Configuración proyecto Django</t>
  </si>
  <si>
    <t>Implementación del sistema de autenticación</t>
  </si>
  <si>
    <t>Sprint 2 — Notas, gráficos y panel del estudiante</t>
  </si>
  <si>
    <t>Implementación de lectura del certificado oficial de notas</t>
  </si>
  <si>
    <t>Procesamiento y almacenamiento de notas</t>
  </si>
  <si>
    <t>Gráficos de desempeño por área, asignatura y año</t>
  </si>
  <si>
    <t>Sprint 3 — Test de interés + IA</t>
  </si>
  <si>
    <t>Desarrollo del test de intereses (preguntas, respuestas, almacenamiento)</t>
  </si>
  <si>
    <t>Integración Mistral 7B (prompt engineering)</t>
  </si>
  <si>
    <t>Generación de informe con IA usando calificaciones + test + retroalimentaciones</t>
  </si>
  <si>
    <t>Sprint 4 — Módulo Docente y PDF</t>
  </si>
  <si>
    <t>Implementación vista docente</t>
  </si>
  <si>
    <t>Generación de informes PDF con PyMuPDF</t>
  </si>
  <si>
    <t>Respuesta docente y envío automático de notificaciones</t>
  </si>
  <si>
    <t>3.13</t>
  </si>
  <si>
    <t>Historial de informes del estudiante</t>
  </si>
  <si>
    <t>Sprint 5 — Retroalimentaciones, dashboard final y pulido</t>
  </si>
  <si>
    <t>3.14</t>
  </si>
  <si>
    <t>Sistema de solicitudes de retroalimentación</t>
  </si>
  <si>
    <t>3.15</t>
  </si>
  <si>
    <t>Panel docente (pendientes, descartadas, finalizadas)</t>
  </si>
  <si>
    <t>3.16</t>
  </si>
  <si>
    <t>Comparativa de rendimiento entre estudiantes</t>
  </si>
  <si>
    <t>3.17</t>
  </si>
  <si>
    <t>Módulo de carga de asignaturas vía CSV</t>
  </si>
  <si>
    <t>3.18</t>
  </si>
  <si>
    <t>Ajustes visuales, optimización y componente final del panel principal</t>
  </si>
  <si>
    <t>A</t>
  </si>
  <si>
    <t>(Actividades Ágiles continuas dentro de Ejecución)</t>
  </si>
  <si>
    <t>A1</t>
  </si>
  <si>
    <t>Reuniones Daily y seguimiento</t>
  </si>
  <si>
    <t>A2</t>
  </si>
  <si>
    <t>Revisión técnica y retrospectivas</t>
  </si>
  <si>
    <t>Cada 3 semanas</t>
  </si>
  <si>
    <t>A3</t>
  </si>
  <si>
    <t>Demos incrementales (Sprint Reviews)</t>
  </si>
  <si>
    <t>Semana 8 / 11 / 16</t>
  </si>
  <si>
    <t>Monitoreo y Control</t>
  </si>
  <si>
    <t>Pruebas unitarias iniciales</t>
  </si>
  <si>
    <t>Pruebas de integración módulos (backend + frontend + algoritmo)</t>
  </si>
  <si>
    <t>Validación con usuarios reales (usabilidad)</t>
  </si>
  <si>
    <t>Corrección de errores detectados</t>
  </si>
  <si>
    <t>Pruebas automatizadas (seguridad, rendimiento)</t>
  </si>
  <si>
    <t>Optimización y ajustes finales</t>
  </si>
  <si>
    <t>Monitoreo de KPIs y métricas</t>
  </si>
  <si>
    <t>Cierre</t>
  </si>
  <si>
    <t>Demo final con cliente</t>
  </si>
  <si>
    <t>Documentación técnica + manual de usuario</t>
  </si>
  <si>
    <t>Entrega versión estable (MVP)</t>
  </si>
  <si>
    <t>Presentación oficial a stakeholders</t>
  </si>
  <si>
    <t>Capacitación a usuarios (docentes/estudiantes)</t>
  </si>
  <si>
    <t>Plan de soporte post-entrega</t>
  </si>
  <si>
    <t>Estrategia de mantenimiento mixto (equipo + institución)</t>
  </si>
  <si>
    <t>Roadmap de futuras actualizaciones</t>
  </si>
  <si>
    <t>Acta Cierre administrativo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</si>
</sst>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2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8.0"/>
      <color rgb="FF7030A0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sz val="11.0"/>
      <color theme="1"/>
      <name val="Calibri"/>
    </font>
    <font/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textRotation="90" vertical="center"/>
    </xf>
    <xf borderId="1" fillId="3" fontId="3" numFmtId="0" xfId="0" applyAlignment="1" applyBorder="1" applyFill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1" fillId="2" fontId="7" numFmtId="164" xfId="0" applyAlignment="1" applyBorder="1" applyFont="1" applyNumberFormat="1">
      <alignment horizontal="center" readingOrder="0" vertical="center"/>
    </xf>
    <xf borderId="1" fillId="4" fontId="8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7" fillId="5" fontId="5" numFmtId="0" xfId="0" applyAlignment="1" applyBorder="1" applyFill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10" fillId="5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3" fillId="5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center" vertical="center"/>
    </xf>
    <xf borderId="16" fillId="0" fontId="6" numFmtId="0" xfId="0" applyBorder="1" applyFont="1"/>
    <xf borderId="17" fillId="0" fontId="6" numFmtId="0" xfId="0" applyBorder="1" applyFont="1"/>
    <xf borderId="8" fillId="5" fontId="5" numFmtId="0" xfId="0" applyAlignment="1" applyBorder="1" applyFont="1">
      <alignment horizontal="center" vertical="center"/>
    </xf>
    <xf borderId="8" fillId="6" fontId="5" numFmtId="0" xfId="0" applyAlignment="1" applyBorder="1" applyFill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1" fillId="5" fontId="5" numFmtId="0" xfId="0" applyAlignment="1" applyBorder="1" applyFont="1">
      <alignment horizontal="center" vertical="center"/>
    </xf>
    <xf borderId="11" fillId="6" fontId="5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4" fillId="5" fontId="5" numFmtId="0" xfId="0" applyAlignment="1" applyBorder="1" applyFont="1">
      <alignment horizontal="center" vertical="center"/>
    </xf>
    <xf borderId="14" fillId="6" fontId="5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18" fillId="0" fontId="10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19" fillId="5" fontId="5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readingOrder="0" vertical="center"/>
    </xf>
    <xf borderId="14" fillId="5" fontId="11" numFmtId="0" xfId="0" applyBorder="1" applyFont="1"/>
    <xf borderId="1" fillId="0" fontId="8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  <xf borderId="21" fillId="0" fontId="10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22" fillId="5" fontId="5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 vertical="center"/>
    </xf>
    <xf borderId="12" fillId="5" fontId="5" numFmtId="0" xfId="0" applyAlignment="1" applyBorder="1" applyFont="1">
      <alignment horizontal="center" vertical="center"/>
    </xf>
    <xf borderId="14" fillId="5" fontId="10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23" fillId="5" fontId="5" numFmtId="0" xfId="0" applyAlignment="1" applyBorder="1" applyFont="1">
      <alignment horizontal="center" vertical="center"/>
    </xf>
    <xf borderId="3" fillId="3" fontId="10" numFmtId="0" xfId="0" applyBorder="1" applyFont="1"/>
    <xf borderId="16" fillId="3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5"/>
    <col customWidth="1" min="2" max="2" width="19.63"/>
    <col customWidth="1" min="3" max="3" width="11.63"/>
    <col customWidth="1" min="4" max="4" width="11.5"/>
    <col customWidth="1" min="5" max="22" width="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>
        <v>1.0</v>
      </c>
      <c r="B2" s="4" t="s">
        <v>22</v>
      </c>
      <c r="C2" s="5"/>
      <c r="D2" s="6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</row>
    <row r="3">
      <c r="A3" s="10">
        <v>45658.0</v>
      </c>
      <c r="B3" s="11" t="s">
        <v>23</v>
      </c>
      <c r="C3" s="12" t="s">
        <v>24</v>
      </c>
      <c r="D3" s="13" t="str">
        <f>E1</f>
        <v>Semana 1</v>
      </c>
      <c r="E3" s="14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6"/>
    </row>
    <row r="4">
      <c r="A4" s="10">
        <v>45689.0</v>
      </c>
      <c r="B4" s="11" t="s">
        <v>25</v>
      </c>
      <c r="C4" s="12" t="str">
        <f>E1</f>
        <v>Semana 1</v>
      </c>
      <c r="D4" s="13" t="str">
        <f>E1</f>
        <v>Semana 1</v>
      </c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</row>
    <row r="5">
      <c r="A5" s="10">
        <v>45717.0</v>
      </c>
      <c r="B5" s="11" t="s">
        <v>26</v>
      </c>
      <c r="C5" s="12" t="str">
        <f t="shared" ref="C5:D5" si="1">E1</f>
        <v>Semana 1</v>
      </c>
      <c r="D5" s="13" t="str">
        <f t="shared" si="1"/>
        <v>Semana 2</v>
      </c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9"/>
    </row>
    <row r="6">
      <c r="A6" s="10">
        <v>45748.0</v>
      </c>
      <c r="B6" s="11" t="s">
        <v>27</v>
      </c>
      <c r="C6" s="12" t="str">
        <f t="shared" ref="C6:D6" si="2">E1</f>
        <v>Semana 1</v>
      </c>
      <c r="D6" s="13" t="str">
        <f t="shared" si="2"/>
        <v>Semana 2</v>
      </c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2"/>
    </row>
    <row r="7">
      <c r="A7" s="3">
        <v>2.0</v>
      </c>
      <c r="B7" s="4" t="s">
        <v>28</v>
      </c>
      <c r="C7" s="5"/>
      <c r="D7" s="6"/>
      <c r="E7" s="6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4"/>
    </row>
    <row r="8">
      <c r="A8" s="10">
        <v>45659.0</v>
      </c>
      <c r="B8" s="11" t="s">
        <v>29</v>
      </c>
      <c r="C8" s="12" t="str">
        <f t="shared" ref="C8:D8" si="3">E1</f>
        <v>Semana 1</v>
      </c>
      <c r="D8" s="13" t="str">
        <f t="shared" si="3"/>
        <v>Semana 2</v>
      </c>
      <c r="E8" s="14"/>
      <c r="F8" s="25"/>
      <c r="G8" s="15"/>
      <c r="H8" s="15"/>
      <c r="I8" s="15"/>
      <c r="J8" s="15"/>
      <c r="K8" s="15"/>
      <c r="L8" s="15"/>
      <c r="M8" s="15"/>
      <c r="N8" s="15"/>
      <c r="O8" s="15"/>
      <c r="P8" s="15"/>
      <c r="Q8" s="26"/>
      <c r="R8" s="26"/>
      <c r="S8" s="15"/>
      <c r="T8" s="15"/>
      <c r="U8" s="15"/>
      <c r="V8" s="16"/>
    </row>
    <row r="9">
      <c r="A9" s="10">
        <v>45690.0</v>
      </c>
      <c r="B9" s="11" t="s">
        <v>30</v>
      </c>
      <c r="C9" s="12" t="str">
        <f>F1</f>
        <v>Semana 2</v>
      </c>
      <c r="D9" s="13" t="str">
        <f>F1</f>
        <v>Semana 2</v>
      </c>
      <c r="E9" s="27"/>
      <c r="F9" s="28"/>
      <c r="G9" s="18"/>
      <c r="H9" s="18"/>
      <c r="I9" s="18"/>
      <c r="J9" s="18"/>
      <c r="K9" s="18"/>
      <c r="L9" s="18"/>
      <c r="M9" s="18"/>
      <c r="N9" s="18"/>
      <c r="O9" s="18"/>
      <c r="P9" s="18"/>
      <c r="Q9" s="29"/>
      <c r="R9" s="29"/>
      <c r="S9" s="18"/>
      <c r="T9" s="18"/>
      <c r="U9" s="18"/>
      <c r="V9" s="19"/>
    </row>
    <row r="10">
      <c r="A10" s="10">
        <v>45718.0</v>
      </c>
      <c r="B10" s="11" t="s">
        <v>31</v>
      </c>
      <c r="C10" s="12" t="str">
        <f t="shared" ref="C10:D10" si="4">F1</f>
        <v>Semana 2</v>
      </c>
      <c r="D10" s="13" t="str">
        <f t="shared" si="4"/>
        <v>Semana 3</v>
      </c>
      <c r="E10" s="27"/>
      <c r="F10" s="28"/>
      <c r="G10" s="28"/>
      <c r="H10" s="18"/>
      <c r="I10" s="18"/>
      <c r="J10" s="18"/>
      <c r="K10" s="18"/>
      <c r="L10" s="18"/>
      <c r="M10" s="18"/>
      <c r="N10" s="18"/>
      <c r="O10" s="18"/>
      <c r="P10" s="18"/>
      <c r="Q10" s="29"/>
      <c r="R10" s="29"/>
      <c r="S10" s="18"/>
      <c r="T10" s="18"/>
      <c r="U10" s="18"/>
      <c r="V10" s="19"/>
    </row>
    <row r="11">
      <c r="A11" s="10">
        <v>45749.0</v>
      </c>
      <c r="B11" s="11" t="s">
        <v>32</v>
      </c>
      <c r="C11" s="12" t="str">
        <f>G1</f>
        <v>Semana 3</v>
      </c>
      <c r="D11" s="13" t="str">
        <f>G1</f>
        <v>Semana 3</v>
      </c>
      <c r="E11" s="27"/>
      <c r="F11" s="18"/>
      <c r="G11" s="28"/>
      <c r="H11" s="18"/>
      <c r="I11" s="18"/>
      <c r="J11" s="18"/>
      <c r="K11" s="18"/>
      <c r="L11" s="18"/>
      <c r="M11" s="18"/>
      <c r="N11" s="18"/>
      <c r="O11" s="18"/>
      <c r="P11" s="18"/>
      <c r="Q11" s="29"/>
      <c r="R11" s="29"/>
      <c r="S11" s="18"/>
      <c r="T11" s="18"/>
      <c r="U11" s="18"/>
      <c r="V11" s="19"/>
    </row>
    <row r="12">
      <c r="A12" s="10">
        <v>45779.0</v>
      </c>
      <c r="B12" s="11" t="s">
        <v>33</v>
      </c>
      <c r="C12" s="12" t="str">
        <f t="shared" ref="C12:D12" si="5">G1</f>
        <v>Semana 3</v>
      </c>
      <c r="D12" s="13" t="str">
        <f t="shared" si="5"/>
        <v>Semana 4</v>
      </c>
      <c r="E12" s="27"/>
      <c r="F12" s="18"/>
      <c r="G12" s="28"/>
      <c r="H12" s="28"/>
      <c r="I12" s="18"/>
      <c r="J12" s="18"/>
      <c r="K12" s="18"/>
      <c r="L12" s="18"/>
      <c r="M12" s="18"/>
      <c r="N12" s="18"/>
      <c r="O12" s="18"/>
      <c r="P12" s="18"/>
      <c r="Q12" s="18"/>
      <c r="R12" s="29"/>
      <c r="S12" s="18"/>
      <c r="T12" s="18"/>
      <c r="U12" s="18"/>
      <c r="V12" s="19"/>
    </row>
    <row r="13">
      <c r="A13" s="10">
        <v>45810.0</v>
      </c>
      <c r="B13" s="11" t="s">
        <v>34</v>
      </c>
      <c r="C13" s="30" t="str">
        <f t="shared" ref="C13:D13" si="6">F1</f>
        <v>Semana 2</v>
      </c>
      <c r="D13" s="13" t="str">
        <f t="shared" si="6"/>
        <v>Semana 3</v>
      </c>
      <c r="E13" s="31"/>
      <c r="F13" s="32"/>
      <c r="G13" s="32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33"/>
      <c r="S13" s="21"/>
      <c r="T13" s="21"/>
      <c r="U13" s="21"/>
      <c r="V13" s="22"/>
    </row>
    <row r="14">
      <c r="A14" s="3">
        <v>3.0</v>
      </c>
      <c r="B14" s="4" t="s">
        <v>35</v>
      </c>
      <c r="C14" s="5"/>
      <c r="D14" s="6"/>
      <c r="E14" s="6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4"/>
    </row>
    <row r="15">
      <c r="A15" s="3"/>
      <c r="B15" s="4" t="s">
        <v>36</v>
      </c>
      <c r="C15" s="5"/>
      <c r="D15" s="6"/>
      <c r="E15" s="6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4"/>
    </row>
    <row r="16">
      <c r="A16" s="10">
        <v>45660.0</v>
      </c>
      <c r="B16" s="11" t="s">
        <v>37</v>
      </c>
      <c r="C16" s="12" t="str">
        <f t="shared" ref="C16:D16" si="7">G1</f>
        <v>Semana 3</v>
      </c>
      <c r="D16" s="13" t="str">
        <f t="shared" si="7"/>
        <v>Semana 4</v>
      </c>
      <c r="E16" s="34"/>
      <c r="F16" s="35"/>
      <c r="G16" s="25"/>
      <c r="H16" s="2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</row>
    <row r="17">
      <c r="A17" s="10">
        <v>45691.0</v>
      </c>
      <c r="B17" s="11" t="s">
        <v>38</v>
      </c>
      <c r="C17" s="12" t="str">
        <f t="shared" ref="C17:D17" si="8">G1</f>
        <v>Semana 3</v>
      </c>
      <c r="D17" s="13" t="str">
        <f t="shared" si="8"/>
        <v>Semana 4</v>
      </c>
      <c r="E17" s="37"/>
      <c r="F17" s="38"/>
      <c r="G17" s="28"/>
      <c r="H17" s="28"/>
      <c r="I17" s="18"/>
      <c r="J17" s="1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9"/>
    </row>
    <row r="18">
      <c r="A18" s="10">
        <v>45719.0</v>
      </c>
      <c r="B18" s="11" t="s">
        <v>39</v>
      </c>
      <c r="C18" s="12" t="str">
        <f>G1</f>
        <v>Semana 3</v>
      </c>
      <c r="D18" s="13" t="str">
        <f>I1</f>
        <v>Semana 5</v>
      </c>
      <c r="E18" s="40"/>
      <c r="F18" s="41"/>
      <c r="G18" s="32"/>
      <c r="H18" s="32"/>
      <c r="I18" s="32"/>
      <c r="J18" s="21"/>
      <c r="K18" s="21"/>
      <c r="L18" s="21"/>
      <c r="M18" s="41"/>
      <c r="N18" s="41"/>
      <c r="O18" s="41"/>
      <c r="P18" s="41"/>
      <c r="Q18" s="41"/>
      <c r="R18" s="41"/>
      <c r="S18" s="41"/>
      <c r="T18" s="41"/>
      <c r="U18" s="41"/>
      <c r="V18" s="42"/>
    </row>
    <row r="19">
      <c r="A19" s="3"/>
      <c r="B19" s="4" t="s">
        <v>40</v>
      </c>
      <c r="C19" s="5"/>
      <c r="D19" s="6"/>
      <c r="E19" s="6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4"/>
    </row>
    <row r="20">
      <c r="A20" s="10">
        <v>45750.0</v>
      </c>
      <c r="B20" s="11" t="s">
        <v>41</v>
      </c>
      <c r="C20" s="12" t="str">
        <f>I1</f>
        <v>Semana 5</v>
      </c>
      <c r="D20" s="13" t="str">
        <f>K1</f>
        <v>Semana 7</v>
      </c>
      <c r="E20" s="43"/>
      <c r="F20" s="44"/>
      <c r="G20" s="44"/>
      <c r="H20" s="45"/>
      <c r="I20" s="46"/>
      <c r="J20" s="46"/>
      <c r="K20" s="46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7"/>
    </row>
    <row r="21">
      <c r="A21" s="10">
        <v>45780.0</v>
      </c>
      <c r="B21" s="11" t="s">
        <v>42</v>
      </c>
      <c r="C21" s="12" t="str">
        <f t="shared" ref="C21:D21" si="9">J1</f>
        <v>Semana 6</v>
      </c>
      <c r="D21" s="13" t="str">
        <f t="shared" si="9"/>
        <v>Semana 7</v>
      </c>
      <c r="E21" s="37"/>
      <c r="F21" s="38"/>
      <c r="G21" s="38"/>
      <c r="H21" s="38"/>
      <c r="I21" s="18"/>
      <c r="J21" s="28"/>
      <c r="K21" s="2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9"/>
    </row>
    <row r="22">
      <c r="A22" s="10">
        <v>45811.0</v>
      </c>
      <c r="B22" s="11" t="s">
        <v>43</v>
      </c>
      <c r="C22" s="12" t="str">
        <f t="shared" ref="C22:D22" si="10">K1</f>
        <v>Semana 7</v>
      </c>
      <c r="D22" s="13" t="str">
        <f t="shared" si="10"/>
        <v>Semana 8</v>
      </c>
      <c r="E22" s="40"/>
      <c r="F22" s="41"/>
      <c r="G22" s="41"/>
      <c r="H22" s="41"/>
      <c r="I22" s="41"/>
      <c r="J22" s="41"/>
      <c r="K22" s="32"/>
      <c r="L22" s="32"/>
      <c r="M22" s="21"/>
      <c r="N22" s="41"/>
      <c r="O22" s="41"/>
      <c r="P22" s="41"/>
      <c r="Q22" s="41"/>
      <c r="R22" s="41"/>
      <c r="S22" s="41"/>
      <c r="T22" s="41"/>
      <c r="U22" s="41"/>
      <c r="V22" s="42"/>
    </row>
    <row r="23">
      <c r="A23" s="3"/>
      <c r="B23" s="4" t="s">
        <v>44</v>
      </c>
      <c r="C23" s="5"/>
      <c r="D23" s="6"/>
      <c r="E23" s="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4"/>
    </row>
    <row r="24">
      <c r="A24" s="10">
        <v>45841.0</v>
      </c>
      <c r="B24" s="11" t="s">
        <v>45</v>
      </c>
      <c r="C24" s="12" t="str">
        <f t="shared" ref="C24:D24" si="11">L1</f>
        <v>Semana 8</v>
      </c>
      <c r="D24" s="13" t="str">
        <f t="shared" si="11"/>
        <v>Semana 9</v>
      </c>
      <c r="E24" s="43"/>
      <c r="F24" s="44"/>
      <c r="G24" s="44"/>
      <c r="H24" s="44"/>
      <c r="I24" s="44"/>
      <c r="J24" s="45"/>
      <c r="K24" s="44"/>
      <c r="L24" s="46"/>
      <c r="M24" s="46"/>
      <c r="N24" s="44"/>
      <c r="O24" s="45"/>
      <c r="P24" s="45"/>
      <c r="Q24" s="44"/>
      <c r="R24" s="44"/>
      <c r="S24" s="44"/>
      <c r="T24" s="44"/>
      <c r="U24" s="44"/>
      <c r="V24" s="47"/>
    </row>
    <row r="25">
      <c r="A25" s="10">
        <v>45872.0</v>
      </c>
      <c r="B25" s="11" t="s">
        <v>46</v>
      </c>
      <c r="C25" s="12" t="str">
        <f t="shared" ref="C25:D25" si="12">M1</f>
        <v>Semana 9</v>
      </c>
      <c r="D25" s="48" t="str">
        <f t="shared" si="12"/>
        <v>Semana 10</v>
      </c>
      <c r="E25" s="37"/>
      <c r="F25" s="38"/>
      <c r="G25" s="38"/>
      <c r="H25" s="38"/>
      <c r="I25" s="38"/>
      <c r="J25" s="38"/>
      <c r="K25" s="18"/>
      <c r="L25" s="18"/>
      <c r="M25" s="28"/>
      <c r="N25" s="28"/>
      <c r="O25" s="38"/>
      <c r="P25" s="38"/>
      <c r="Q25" s="38"/>
      <c r="R25" s="38"/>
      <c r="S25" s="38"/>
      <c r="T25" s="38"/>
      <c r="U25" s="38"/>
      <c r="V25" s="39"/>
    </row>
    <row r="26">
      <c r="A26" s="10">
        <v>45903.0</v>
      </c>
      <c r="B26" s="11" t="s">
        <v>47</v>
      </c>
      <c r="C26" s="12" t="str">
        <f>M1</f>
        <v>Semana 9</v>
      </c>
      <c r="D26" s="13" t="str">
        <f>O1</f>
        <v>Semana 11</v>
      </c>
      <c r="E26" s="40"/>
      <c r="F26" s="41"/>
      <c r="G26" s="41"/>
      <c r="H26" s="41"/>
      <c r="I26" s="41"/>
      <c r="J26" s="41"/>
      <c r="K26" s="41"/>
      <c r="L26" s="41"/>
      <c r="M26" s="32"/>
      <c r="N26" s="49"/>
      <c r="O26" s="49"/>
      <c r="P26" s="41"/>
      <c r="Q26" s="41"/>
      <c r="R26" s="41"/>
      <c r="S26" s="41"/>
      <c r="T26" s="41"/>
      <c r="U26" s="41"/>
      <c r="V26" s="42"/>
    </row>
    <row r="27">
      <c r="A27" s="3"/>
      <c r="B27" s="4" t="s">
        <v>48</v>
      </c>
      <c r="C27" s="5"/>
      <c r="D27" s="6"/>
      <c r="E27" s="6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4"/>
    </row>
    <row r="28">
      <c r="A28" s="10">
        <v>45933.0</v>
      </c>
      <c r="B28" s="11" t="s">
        <v>49</v>
      </c>
      <c r="C28" s="50" t="str">
        <f>O1</f>
        <v>Semana 11</v>
      </c>
      <c r="D28" s="13" t="str">
        <f>O1</f>
        <v>Semana 11</v>
      </c>
      <c r="E28" s="43"/>
      <c r="F28" s="44"/>
      <c r="G28" s="44"/>
      <c r="H28" s="44"/>
      <c r="I28" s="44"/>
      <c r="J28" s="44"/>
      <c r="K28" s="44"/>
      <c r="L28" s="44"/>
      <c r="M28" s="45"/>
      <c r="N28" s="45"/>
      <c r="O28" s="46"/>
      <c r="P28" s="44"/>
      <c r="Q28" s="44"/>
      <c r="R28" s="44"/>
      <c r="S28" s="44"/>
      <c r="T28" s="44"/>
      <c r="U28" s="44"/>
      <c r="V28" s="47"/>
    </row>
    <row r="29">
      <c r="A29" s="10">
        <v>45964.0</v>
      </c>
      <c r="B29" s="11" t="s">
        <v>50</v>
      </c>
      <c r="C29" s="12" t="str">
        <f t="shared" ref="C29:D29" si="13">O1</f>
        <v>Semana 11</v>
      </c>
      <c r="D29" s="13" t="str">
        <f t="shared" si="13"/>
        <v>Semana 12</v>
      </c>
      <c r="E29" s="37"/>
      <c r="F29" s="38"/>
      <c r="G29" s="38"/>
      <c r="H29" s="38"/>
      <c r="I29" s="38"/>
      <c r="J29" s="38"/>
      <c r="K29" s="38"/>
      <c r="L29" s="38"/>
      <c r="M29" s="18"/>
      <c r="N29" s="18"/>
      <c r="O29" s="28"/>
      <c r="P29" s="28"/>
      <c r="Q29" s="38"/>
      <c r="R29" s="38"/>
      <c r="S29" s="38"/>
      <c r="T29" s="38"/>
      <c r="U29" s="38"/>
      <c r="V29" s="39"/>
    </row>
    <row r="30">
      <c r="A30" s="10">
        <v>45994.0</v>
      </c>
      <c r="B30" s="11" t="s">
        <v>51</v>
      </c>
      <c r="C30" s="12" t="str">
        <f t="shared" ref="C30:D30" si="14">P1</f>
        <v>Semana 12</v>
      </c>
      <c r="D30" s="13" t="str">
        <f t="shared" si="14"/>
        <v>Semana 13</v>
      </c>
      <c r="E30" s="37"/>
      <c r="F30" s="38"/>
      <c r="G30" s="38"/>
      <c r="H30" s="38"/>
      <c r="I30" s="38"/>
      <c r="J30" s="38"/>
      <c r="K30" s="38"/>
      <c r="L30" s="38"/>
      <c r="M30" s="18"/>
      <c r="N30" s="18"/>
      <c r="O30" s="38"/>
      <c r="P30" s="28"/>
      <c r="Q30" s="28"/>
      <c r="R30" s="38"/>
      <c r="S30" s="38"/>
      <c r="T30" s="38"/>
      <c r="U30" s="38"/>
      <c r="V30" s="39"/>
    </row>
    <row r="31">
      <c r="A31" s="51" t="s">
        <v>52</v>
      </c>
      <c r="B31" s="11" t="s">
        <v>53</v>
      </c>
      <c r="C31" s="12" t="str">
        <f>Q1</f>
        <v>Semana 13</v>
      </c>
      <c r="D31" s="13" t="str">
        <f>Q1</f>
        <v>Semana 13</v>
      </c>
      <c r="E31" s="52"/>
      <c r="F31" s="53"/>
      <c r="G31" s="53"/>
      <c r="H31" s="53"/>
      <c r="I31" s="53"/>
      <c r="J31" s="53"/>
      <c r="K31" s="53"/>
      <c r="L31" s="53"/>
      <c r="M31" s="54"/>
      <c r="N31" s="54"/>
      <c r="O31" s="53"/>
      <c r="P31" s="53"/>
      <c r="Q31" s="55"/>
      <c r="R31" s="54"/>
      <c r="S31" s="53"/>
      <c r="T31" s="53"/>
      <c r="U31" s="53"/>
      <c r="V31" s="56"/>
    </row>
    <row r="32">
      <c r="A32" s="3"/>
      <c r="B32" s="4" t="s">
        <v>54</v>
      </c>
      <c r="C32" s="5"/>
      <c r="D32" s="6"/>
      <c r="E32" s="6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4"/>
    </row>
    <row r="33">
      <c r="A33" s="51" t="s">
        <v>55</v>
      </c>
      <c r="B33" s="11" t="s">
        <v>56</v>
      </c>
      <c r="C33" s="12" t="str">
        <f t="shared" ref="C33:D33" si="15">Q1</f>
        <v>Semana 13</v>
      </c>
      <c r="D33" s="13" t="str">
        <f t="shared" si="15"/>
        <v>Semana 14</v>
      </c>
      <c r="E33" s="43"/>
      <c r="F33" s="44"/>
      <c r="G33" s="44"/>
      <c r="H33" s="44"/>
      <c r="I33" s="44"/>
      <c r="J33" s="44"/>
      <c r="K33" s="44"/>
      <c r="L33" s="44"/>
      <c r="M33" s="45"/>
      <c r="N33" s="45"/>
      <c r="O33" s="44"/>
      <c r="P33" s="44"/>
      <c r="Q33" s="46"/>
      <c r="R33" s="46"/>
      <c r="S33" s="44"/>
      <c r="T33" s="44"/>
      <c r="U33" s="44"/>
      <c r="V33" s="47"/>
    </row>
    <row r="34">
      <c r="A34" s="51" t="s">
        <v>57</v>
      </c>
      <c r="B34" s="11" t="s">
        <v>58</v>
      </c>
      <c r="C34" s="12" t="str">
        <f t="shared" ref="C34:D34" si="16">R1</f>
        <v>Semana 14</v>
      </c>
      <c r="D34" s="13" t="str">
        <f t="shared" si="16"/>
        <v>Semana 15</v>
      </c>
      <c r="E34" s="37"/>
      <c r="F34" s="38"/>
      <c r="G34" s="38"/>
      <c r="H34" s="38"/>
      <c r="I34" s="38"/>
      <c r="J34" s="38"/>
      <c r="K34" s="38"/>
      <c r="L34" s="38"/>
      <c r="M34" s="18"/>
      <c r="N34" s="18"/>
      <c r="O34" s="38"/>
      <c r="P34" s="38"/>
      <c r="Q34" s="38"/>
      <c r="R34" s="28"/>
      <c r="S34" s="28"/>
      <c r="T34" s="38"/>
      <c r="U34" s="38"/>
      <c r="V34" s="39"/>
    </row>
    <row r="35">
      <c r="A35" s="51" t="s">
        <v>59</v>
      </c>
      <c r="B35" s="11" t="s">
        <v>60</v>
      </c>
      <c r="C35" s="12" t="str">
        <f>S1</f>
        <v>Semana 15</v>
      </c>
      <c r="D35" s="13" t="str">
        <f>S1</f>
        <v>Semana 15</v>
      </c>
      <c r="E35" s="37"/>
      <c r="F35" s="38"/>
      <c r="G35" s="38"/>
      <c r="H35" s="38"/>
      <c r="I35" s="38"/>
      <c r="J35" s="38"/>
      <c r="K35" s="38"/>
      <c r="L35" s="38"/>
      <c r="M35" s="18"/>
      <c r="N35" s="18"/>
      <c r="O35" s="38"/>
      <c r="P35" s="38"/>
      <c r="Q35" s="38"/>
      <c r="R35" s="38"/>
      <c r="S35" s="28"/>
      <c r="T35" s="38"/>
      <c r="U35" s="38"/>
      <c r="V35" s="39"/>
    </row>
    <row r="36">
      <c r="A36" s="51" t="s">
        <v>61</v>
      </c>
      <c r="B36" s="11" t="s">
        <v>62</v>
      </c>
      <c r="C36" s="12" t="str">
        <f t="shared" ref="C36:D36" si="17">S1</f>
        <v>Semana 15</v>
      </c>
      <c r="D36" s="13" t="str">
        <f t="shared" si="17"/>
        <v>Semana 16</v>
      </c>
      <c r="E36" s="37"/>
      <c r="F36" s="38"/>
      <c r="G36" s="38"/>
      <c r="H36" s="38"/>
      <c r="I36" s="38"/>
      <c r="J36" s="38"/>
      <c r="K36" s="38"/>
      <c r="L36" s="38"/>
      <c r="M36" s="18"/>
      <c r="N36" s="18"/>
      <c r="O36" s="38"/>
      <c r="P36" s="38"/>
      <c r="Q36" s="38"/>
      <c r="R36" s="38"/>
      <c r="S36" s="28"/>
      <c r="T36" s="28"/>
      <c r="U36" s="38"/>
      <c r="V36" s="39"/>
    </row>
    <row r="37">
      <c r="A37" s="51" t="s">
        <v>63</v>
      </c>
      <c r="B37" s="11" t="s">
        <v>64</v>
      </c>
      <c r="C37" s="12" t="str">
        <f>T1</f>
        <v>Semana 16</v>
      </c>
      <c r="D37" s="13" t="str">
        <f>T1</f>
        <v>Semana 16</v>
      </c>
      <c r="E37" s="52"/>
      <c r="F37" s="53"/>
      <c r="G37" s="53"/>
      <c r="H37" s="53"/>
      <c r="I37" s="53"/>
      <c r="J37" s="53"/>
      <c r="K37" s="53"/>
      <c r="L37" s="53"/>
      <c r="M37" s="54"/>
      <c r="N37" s="54"/>
      <c r="O37" s="53"/>
      <c r="P37" s="53"/>
      <c r="Q37" s="53"/>
      <c r="R37" s="53"/>
      <c r="S37" s="54"/>
      <c r="T37" s="55"/>
      <c r="U37" s="53"/>
      <c r="V37" s="56"/>
    </row>
    <row r="38">
      <c r="A38" s="3" t="s">
        <v>65</v>
      </c>
      <c r="B38" s="4" t="s">
        <v>66</v>
      </c>
      <c r="C38" s="5"/>
      <c r="D38" s="6"/>
      <c r="E38" s="6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4"/>
    </row>
    <row r="39">
      <c r="A39" s="51" t="s">
        <v>67</v>
      </c>
      <c r="B39" s="11" t="s">
        <v>68</v>
      </c>
      <c r="C39" s="12" t="str">
        <f>F1</f>
        <v>Semana 2</v>
      </c>
      <c r="D39" s="13" t="str">
        <f>U1</f>
        <v>Semana 17</v>
      </c>
      <c r="E39" s="57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58"/>
    </row>
    <row r="40">
      <c r="A40" s="51" t="s">
        <v>69</v>
      </c>
      <c r="B40" s="11" t="s">
        <v>70</v>
      </c>
      <c r="C40" s="48" t="s">
        <v>71</v>
      </c>
      <c r="D40" s="24"/>
      <c r="E40" s="27"/>
      <c r="F40" s="18"/>
      <c r="G40" s="28"/>
      <c r="H40" s="18"/>
      <c r="I40" s="18"/>
      <c r="J40" s="28"/>
      <c r="K40" s="18"/>
      <c r="L40" s="18"/>
      <c r="M40" s="28"/>
      <c r="N40" s="18"/>
      <c r="O40" s="18"/>
      <c r="P40" s="28"/>
      <c r="Q40" s="18"/>
      <c r="R40" s="18"/>
      <c r="S40" s="28"/>
      <c r="T40" s="18"/>
      <c r="U40" s="18"/>
      <c r="V40" s="59"/>
    </row>
    <row r="41">
      <c r="A41" s="51" t="s">
        <v>72</v>
      </c>
      <c r="B41" s="11" t="s">
        <v>73</v>
      </c>
      <c r="C41" s="48" t="s">
        <v>74</v>
      </c>
      <c r="D41" s="24"/>
      <c r="E41" s="31"/>
      <c r="F41" s="21"/>
      <c r="G41" s="21"/>
      <c r="H41" s="21"/>
      <c r="I41" s="21"/>
      <c r="J41" s="21"/>
      <c r="K41" s="21"/>
      <c r="L41" s="32"/>
      <c r="M41" s="21"/>
      <c r="N41" s="21"/>
      <c r="O41" s="32"/>
      <c r="P41" s="21"/>
      <c r="Q41" s="21"/>
      <c r="R41" s="21"/>
      <c r="S41" s="21"/>
      <c r="T41" s="32"/>
      <c r="U41" s="21"/>
      <c r="V41" s="22"/>
    </row>
    <row r="42">
      <c r="A42" s="3">
        <v>4.0</v>
      </c>
      <c r="B42" s="4" t="s">
        <v>75</v>
      </c>
      <c r="C42" s="5"/>
      <c r="D42" s="6"/>
      <c r="E42" s="6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4"/>
    </row>
    <row r="43" ht="30.75" customHeight="1">
      <c r="A43" s="10">
        <v>45661.0</v>
      </c>
      <c r="B43" s="11" t="s">
        <v>76</v>
      </c>
      <c r="C43" s="12" t="str">
        <f>K1</f>
        <v>Semana 7</v>
      </c>
      <c r="D43" s="13" t="str">
        <f>M1</f>
        <v>Semana 9</v>
      </c>
      <c r="E43" s="43"/>
      <c r="F43" s="44"/>
      <c r="G43" s="44"/>
      <c r="H43" s="44"/>
      <c r="I43" s="44"/>
      <c r="J43" s="44"/>
      <c r="K43" s="46"/>
      <c r="L43" s="46"/>
      <c r="M43" s="46"/>
      <c r="N43" s="44"/>
      <c r="O43" s="44"/>
      <c r="P43" s="44"/>
      <c r="Q43" s="44"/>
      <c r="R43" s="44"/>
      <c r="S43" s="44"/>
      <c r="T43" s="44"/>
      <c r="U43" s="44"/>
      <c r="V43" s="47"/>
    </row>
    <row r="44">
      <c r="A44" s="10">
        <v>45692.0</v>
      </c>
      <c r="B44" s="11" t="s">
        <v>77</v>
      </c>
      <c r="C44" s="12" t="str">
        <f t="shared" ref="C44:D44" si="18">N1</f>
        <v>Semana 10</v>
      </c>
      <c r="D44" s="13" t="str">
        <f t="shared" si="18"/>
        <v>Semana 11</v>
      </c>
      <c r="E44" s="37"/>
      <c r="F44" s="38"/>
      <c r="G44" s="38"/>
      <c r="H44" s="38"/>
      <c r="I44" s="38"/>
      <c r="J44" s="38"/>
      <c r="K44" s="38"/>
      <c r="L44" s="38"/>
      <c r="M44" s="38"/>
      <c r="N44" s="28"/>
      <c r="O44" s="28"/>
      <c r="P44" s="38"/>
      <c r="Q44" s="38"/>
      <c r="R44" s="38"/>
      <c r="S44" s="38"/>
      <c r="T44" s="38"/>
      <c r="U44" s="38"/>
      <c r="V44" s="39"/>
    </row>
    <row r="45">
      <c r="A45" s="10">
        <v>45751.0</v>
      </c>
      <c r="B45" s="11" t="s">
        <v>78</v>
      </c>
      <c r="C45" s="12" t="str">
        <f t="shared" ref="C45:D45" si="19">P1</f>
        <v>Semana 12</v>
      </c>
      <c r="D45" s="13" t="str">
        <f t="shared" si="19"/>
        <v>Semana 13</v>
      </c>
      <c r="E45" s="37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28"/>
      <c r="Q45" s="28"/>
      <c r="R45" s="38"/>
      <c r="S45" s="38"/>
      <c r="T45" s="38"/>
      <c r="U45" s="38"/>
      <c r="V45" s="39"/>
    </row>
    <row r="46">
      <c r="A46" s="10">
        <v>45781.0</v>
      </c>
      <c r="B46" s="11" t="s">
        <v>79</v>
      </c>
      <c r="C46" s="12" t="str">
        <f t="shared" ref="C46:D46" si="20">Q1</f>
        <v>Semana 13</v>
      </c>
      <c r="D46" s="13" t="str">
        <f t="shared" si="20"/>
        <v>Semana 14</v>
      </c>
      <c r="E46" s="37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28"/>
      <c r="R46" s="28"/>
      <c r="S46" s="38"/>
      <c r="T46" s="38"/>
      <c r="U46" s="38"/>
      <c r="V46" s="39"/>
    </row>
    <row r="47">
      <c r="A47" s="10">
        <v>45812.0</v>
      </c>
      <c r="B47" s="11" t="s">
        <v>80</v>
      </c>
      <c r="C47" s="12" t="str">
        <f t="shared" ref="C47:D47" si="21">R1</f>
        <v>Semana 14</v>
      </c>
      <c r="D47" s="13" t="str">
        <f t="shared" si="21"/>
        <v>Semana 15</v>
      </c>
      <c r="E47" s="37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28"/>
      <c r="S47" s="28"/>
      <c r="T47" s="38"/>
      <c r="U47" s="38"/>
      <c r="V47" s="39"/>
    </row>
    <row r="48">
      <c r="A48" s="10">
        <v>45842.0</v>
      </c>
      <c r="B48" s="11" t="s">
        <v>81</v>
      </c>
      <c r="C48" s="12" t="str">
        <f t="shared" ref="C48:D48" si="22">S1</f>
        <v>Semana 15</v>
      </c>
      <c r="D48" s="13" t="str">
        <f t="shared" si="22"/>
        <v>Semana 16</v>
      </c>
      <c r="E48" s="37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28"/>
      <c r="T48" s="28"/>
      <c r="U48" s="38"/>
      <c r="V48" s="39"/>
    </row>
    <row r="49">
      <c r="A49" s="10">
        <v>45873.0</v>
      </c>
      <c r="B49" s="11" t="s">
        <v>82</v>
      </c>
      <c r="C49" s="50" t="s">
        <v>13</v>
      </c>
      <c r="D49" s="48" t="s">
        <v>20</v>
      </c>
      <c r="E49" s="40"/>
      <c r="F49" s="41"/>
      <c r="G49" s="41"/>
      <c r="H49" s="41"/>
      <c r="I49" s="41"/>
      <c r="J49" s="41"/>
      <c r="K49" s="41"/>
      <c r="L49" s="41"/>
      <c r="M49" s="41"/>
      <c r="N49" s="60"/>
      <c r="O49" s="60"/>
      <c r="P49" s="60"/>
      <c r="Q49" s="60"/>
      <c r="R49" s="60"/>
      <c r="S49" s="32"/>
      <c r="T49" s="32"/>
      <c r="U49" s="60"/>
      <c r="V49" s="42"/>
    </row>
    <row r="50">
      <c r="A50" s="3">
        <v>5.0</v>
      </c>
      <c r="B50" s="4" t="s">
        <v>83</v>
      </c>
      <c r="C50" s="5"/>
      <c r="D50" s="6"/>
      <c r="E50" s="6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4"/>
    </row>
    <row r="51" ht="27.0" customHeight="1">
      <c r="A51" s="10">
        <v>45662.0</v>
      </c>
      <c r="B51" s="11" t="s">
        <v>84</v>
      </c>
      <c r="C51" s="12" t="str">
        <f>T1</f>
        <v>Semana 16</v>
      </c>
      <c r="D51" s="13" t="str">
        <f>T1</f>
        <v>Semana 16</v>
      </c>
      <c r="E51" s="34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25"/>
      <c r="U51" s="35"/>
      <c r="V51" s="36"/>
    </row>
    <row r="52">
      <c r="A52" s="10">
        <v>45693.0</v>
      </c>
      <c r="B52" s="11" t="s">
        <v>85</v>
      </c>
      <c r="C52" s="12" t="str">
        <f>S1</f>
        <v>Semana 15</v>
      </c>
      <c r="D52" s="48" t="str">
        <f>U1</f>
        <v>Semana 17</v>
      </c>
      <c r="E52" s="37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28"/>
      <c r="T52" s="28"/>
      <c r="U52" s="28"/>
      <c r="V52" s="39"/>
    </row>
    <row r="53">
      <c r="A53" s="10">
        <v>45721.0</v>
      </c>
      <c r="B53" s="11" t="s">
        <v>86</v>
      </c>
      <c r="C53" s="12" t="str">
        <f>U1</f>
        <v>Semana 17</v>
      </c>
      <c r="D53" s="13" t="str">
        <f>U1</f>
        <v>Semana 17</v>
      </c>
      <c r="E53" s="37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28"/>
      <c r="V53" s="39"/>
    </row>
    <row r="54">
      <c r="A54" s="10">
        <v>45752.0</v>
      </c>
      <c r="B54" s="11" t="s">
        <v>87</v>
      </c>
      <c r="C54" s="12" t="str">
        <f>V1</f>
        <v>Semana 18</v>
      </c>
      <c r="D54" s="13" t="str">
        <f>V1</f>
        <v>Semana 18</v>
      </c>
      <c r="E54" s="37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59"/>
    </row>
    <row r="55">
      <c r="A55" s="10">
        <v>45782.0</v>
      </c>
      <c r="B55" s="11" t="s">
        <v>88</v>
      </c>
      <c r="C55" s="12" t="str">
        <f t="shared" ref="C55:D55" si="23">U1</f>
        <v>Semana 17</v>
      </c>
      <c r="D55" s="13" t="str">
        <f t="shared" si="23"/>
        <v>Semana 18</v>
      </c>
      <c r="E55" s="37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28"/>
      <c r="V55" s="59"/>
    </row>
    <row r="56">
      <c r="A56" s="10">
        <v>45813.0</v>
      </c>
      <c r="B56" s="11" t="s">
        <v>89</v>
      </c>
      <c r="C56" s="12" t="str">
        <f t="shared" ref="C56:D56" si="24">U1</f>
        <v>Semana 17</v>
      </c>
      <c r="D56" s="48" t="str">
        <f t="shared" si="24"/>
        <v>Semana 18</v>
      </c>
      <c r="E56" s="37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28"/>
      <c r="V56" s="59"/>
    </row>
    <row r="57">
      <c r="A57" s="10">
        <v>45843.0</v>
      </c>
      <c r="B57" s="11" t="s">
        <v>90</v>
      </c>
      <c r="C57" s="12" t="str">
        <f t="shared" ref="C57:D57" si="25">U1</f>
        <v>Semana 17</v>
      </c>
      <c r="D57" s="13" t="str">
        <f t="shared" si="25"/>
        <v>Semana 18</v>
      </c>
      <c r="E57" s="37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28"/>
      <c r="V57" s="59"/>
    </row>
    <row r="58">
      <c r="A58" s="10">
        <v>45874.0</v>
      </c>
      <c r="B58" s="11" t="s">
        <v>91</v>
      </c>
      <c r="C58" s="12" t="str">
        <f>V1</f>
        <v>Semana 18</v>
      </c>
      <c r="D58" s="13" t="str">
        <f>V1</f>
        <v>Semana 18</v>
      </c>
      <c r="E58" s="37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59"/>
    </row>
    <row r="59" ht="26.25" customHeight="1">
      <c r="A59" s="10">
        <v>45905.0</v>
      </c>
      <c r="B59" s="11" t="s">
        <v>92</v>
      </c>
      <c r="C59" s="13" t="str">
        <f>V1</f>
        <v>Semana 18</v>
      </c>
      <c r="D59" s="13" t="str">
        <f>V1</f>
        <v>Semana 18</v>
      </c>
      <c r="E59" s="61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62"/>
    </row>
    <row r="60">
      <c r="A60" s="63"/>
      <c r="B60" s="23"/>
      <c r="C60" s="64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4"/>
    </row>
  </sheetData>
  <mergeCells count="15">
    <mergeCell ref="E32:V32"/>
    <mergeCell ref="E38:V38"/>
    <mergeCell ref="C40:D40"/>
    <mergeCell ref="C41:D41"/>
    <mergeCell ref="E42:V42"/>
    <mergeCell ref="E50:V50"/>
    <mergeCell ref="A60:B60"/>
    <mergeCell ref="C60:V60"/>
    <mergeCell ref="E2:V2"/>
    <mergeCell ref="E7:V7"/>
    <mergeCell ref="E14:V14"/>
    <mergeCell ref="E15:V15"/>
    <mergeCell ref="E19:V19"/>
    <mergeCell ref="E23:V23"/>
    <mergeCell ref="E27:V27"/>
  </mergeCells>
  <drawing r:id="rId1"/>
</worksheet>
</file>